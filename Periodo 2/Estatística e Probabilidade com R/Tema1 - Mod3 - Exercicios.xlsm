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G:\Meu Drive\01 - Faculdade de Ciência de Dados\Uni-DS-Codes\Periodo 2\Estatística e Probabilidade com R\"/>
    </mc:Choice>
  </mc:AlternateContent>
  <xr:revisionPtr revIDLastSave="0" documentId="8_{CC945557-A5B0-41A4-8F91-7A842A6D6595}" xr6:coauthVersionLast="47" xr6:coauthVersionMax="47" xr10:uidLastSave="{00000000-0000-0000-0000-000000000000}"/>
  <bookViews>
    <workbookView xWindow="28680" yWindow="-120" windowWidth="21840" windowHeight="13740" xr2:uid="{6268B965-DB03-448E-B9D3-ECAEEFFFBEF0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1" l="1"/>
  <c r="H14" i="1"/>
  <c r="H3" i="1"/>
  <c r="H4" i="1"/>
  <c r="H5" i="1"/>
  <c r="H6" i="1"/>
  <c r="H7" i="1"/>
  <c r="H8" i="1"/>
  <c r="H9" i="1"/>
  <c r="H10" i="1"/>
  <c r="H11" i="1"/>
  <c r="H2" i="1"/>
  <c r="F3" i="1"/>
  <c r="F4" i="1"/>
  <c r="F5" i="1"/>
  <c r="F6" i="1"/>
  <c r="F7" i="1"/>
  <c r="F8" i="1"/>
  <c r="F9" i="1"/>
  <c r="F10" i="1"/>
  <c r="F11" i="1"/>
  <c r="F2" i="1"/>
  <c r="D13" i="1"/>
  <c r="D3" i="1"/>
  <c r="D4" i="1"/>
  <c r="D5" i="1"/>
  <c r="D6" i="1"/>
  <c r="D7" i="1"/>
  <c r="D8" i="1"/>
  <c r="D9" i="1"/>
  <c r="D10" i="1"/>
  <c r="D11" i="1"/>
  <c r="D2" i="1"/>
  <c r="B15" i="1"/>
  <c r="B14" i="1"/>
  <c r="B13" i="1"/>
  <c r="H13" i="1" l="1"/>
  <c r="F13" i="1"/>
</calcChain>
</file>

<file path=xl/sharedStrings.xml><?xml version="1.0" encoding="utf-8"?>
<sst xmlns="http://schemas.openxmlformats.org/spreadsheetml/2006/main" count="10" uniqueCount="10">
  <si>
    <t>Dados</t>
  </si>
  <si>
    <t>Total</t>
  </si>
  <si>
    <t>Média</t>
  </si>
  <si>
    <t>Mediana</t>
  </si>
  <si>
    <t>Variancia</t>
  </si>
  <si>
    <t>Desvio-padrão</t>
  </si>
  <si>
    <t>Soma dos Desvios Quadraticos</t>
  </si>
  <si>
    <t>Desvios Quadraticos com relação à Média</t>
  </si>
  <si>
    <t>Desvios Modulares com relação à Mediana</t>
  </si>
  <si>
    <t>Desvios Simples com relação à Média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</si>
</sst>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" fontId="0" fillId="0" borderId="0" xfId="0" applyNumberFormat="1" applyAlignment="1">
      <alignment horizontal="center"/>
    </xf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666AA-A9F8-41F4-A526-678B06C9E83A}">
  <dimension ref="A1:J15"/>
  <sheetViews>
    <sheetView tabSelected="1" workbookViewId="0"/>
  </sheetViews>
  <sheetFormatPr defaultRowHeight="14.4" x14ac:dyDescent="0.3"/>
  <cols>
    <col min="1" max="1" width="10" bestFit="1" customWidth="1"/>
    <col min="2" max="2" width="8.88671875" style="3"/>
    <col min="4" max="4" width="14.44140625" style="3" customWidth="1"/>
    <col min="6" max="6" width="13.21875" customWidth="1"/>
    <col min="7" max="7" width="28.21875" bestFit="1" customWidth="1"/>
    <col min="8" max="8" width="13.21875" style="3" customWidth="1"/>
    <col min="10" max="10" width="12.6640625" style="3" customWidth="1"/>
  </cols>
  <sheetData>
    <row r="1" spans="1:10" s="1" customFormat="1" ht="57.6" x14ac:dyDescent="0.3">
      <c r="B1" s="1" t="s">
        <v>0</v>
      </c>
      <c r="D1" s="2" t="s">
        <v>9</v>
      </c>
      <c r="F1" s="2" t="s">
        <v>8</v>
      </c>
      <c r="H1" s="2" t="s">
        <v>7</v>
      </c>
      <c r="J1" s="2"/>
    </row>
    <row r="2" spans="1:10" x14ac:dyDescent="0.3">
      <c r="A2">
        <v>1</v>
      </c>
      <c r="B2" s="3">
        <v>12</v>
      </c>
      <c r="D2" s="3">
        <f>B2-$B$14</f>
        <v>-4.3999999999999986</v>
      </c>
      <c r="F2" s="3">
        <f>ABS(B2-$B$15)</f>
        <v>4.5</v>
      </c>
      <c r="H2" s="3">
        <f>(B2-$B$14)^2</f>
        <v>19.359999999999989</v>
      </c>
    </row>
    <row r="3" spans="1:10" x14ac:dyDescent="0.3">
      <c r="A3">
        <v>2</v>
      </c>
      <c r="B3" s="3">
        <v>13</v>
      </c>
      <c r="D3" s="3">
        <f t="shared" ref="D3:D11" si="0">B3-$B$14</f>
        <v>-3.3999999999999986</v>
      </c>
      <c r="F3" s="3">
        <f t="shared" ref="F3:F11" si="1">ABS(B3-$B$15)</f>
        <v>3.5</v>
      </c>
      <c r="H3" s="3">
        <f t="shared" ref="H3:H11" si="2">(B3-$B$14)^2</f>
        <v>11.55999999999999</v>
      </c>
    </row>
    <row r="4" spans="1:10" x14ac:dyDescent="0.3">
      <c r="A4">
        <v>3</v>
      </c>
      <c r="B4" s="3">
        <v>15</v>
      </c>
      <c r="D4" s="3">
        <f t="shared" si="0"/>
        <v>-1.3999999999999986</v>
      </c>
      <c r="F4" s="3">
        <f t="shared" si="1"/>
        <v>1.5</v>
      </c>
      <c r="H4" s="3">
        <f t="shared" si="2"/>
        <v>1.959999999999996</v>
      </c>
    </row>
    <row r="5" spans="1:10" x14ac:dyDescent="0.3">
      <c r="A5">
        <v>4</v>
      </c>
      <c r="B5" s="3">
        <v>16</v>
      </c>
      <c r="D5" s="3">
        <f t="shared" si="0"/>
        <v>-0.39999999999999858</v>
      </c>
      <c r="F5" s="3">
        <f t="shared" si="1"/>
        <v>0.5</v>
      </c>
      <c r="H5" s="3">
        <f t="shared" si="2"/>
        <v>0.15999999999999887</v>
      </c>
    </row>
    <row r="6" spans="1:10" x14ac:dyDescent="0.3">
      <c r="A6">
        <v>5</v>
      </c>
      <c r="B6" s="3">
        <v>16</v>
      </c>
      <c r="D6" s="3">
        <f t="shared" si="0"/>
        <v>-0.39999999999999858</v>
      </c>
      <c r="F6" s="3">
        <f t="shared" si="1"/>
        <v>0.5</v>
      </c>
      <c r="H6" s="3">
        <f t="shared" si="2"/>
        <v>0.15999999999999887</v>
      </c>
    </row>
    <row r="7" spans="1:10" x14ac:dyDescent="0.3">
      <c r="A7">
        <v>6</v>
      </c>
      <c r="B7" s="3">
        <v>17</v>
      </c>
      <c r="D7" s="3">
        <f t="shared" si="0"/>
        <v>0.60000000000000142</v>
      </c>
      <c r="F7" s="3">
        <f t="shared" si="1"/>
        <v>0.5</v>
      </c>
      <c r="H7" s="3">
        <f t="shared" si="2"/>
        <v>0.36000000000000171</v>
      </c>
    </row>
    <row r="8" spans="1:10" x14ac:dyDescent="0.3">
      <c r="A8">
        <v>7</v>
      </c>
      <c r="B8" s="3">
        <v>17</v>
      </c>
      <c r="D8" s="3">
        <f t="shared" si="0"/>
        <v>0.60000000000000142</v>
      </c>
      <c r="F8" s="3">
        <f t="shared" si="1"/>
        <v>0.5</v>
      </c>
      <c r="H8" s="3">
        <f t="shared" si="2"/>
        <v>0.36000000000000171</v>
      </c>
    </row>
    <row r="9" spans="1:10" x14ac:dyDescent="0.3">
      <c r="A9">
        <v>8</v>
      </c>
      <c r="B9" s="3">
        <v>18</v>
      </c>
      <c r="D9" s="3">
        <f t="shared" si="0"/>
        <v>1.6000000000000014</v>
      </c>
      <c r="F9" s="3">
        <f t="shared" si="1"/>
        <v>1.5</v>
      </c>
      <c r="H9" s="3">
        <f t="shared" si="2"/>
        <v>2.5600000000000045</v>
      </c>
    </row>
    <row r="10" spans="1:10" x14ac:dyDescent="0.3">
      <c r="A10">
        <v>9</v>
      </c>
      <c r="B10" s="3">
        <v>20</v>
      </c>
      <c r="D10" s="3">
        <f t="shared" si="0"/>
        <v>3.6000000000000014</v>
      </c>
      <c r="F10" s="3">
        <f t="shared" si="1"/>
        <v>3.5</v>
      </c>
      <c r="H10" s="3">
        <f t="shared" si="2"/>
        <v>12.96000000000001</v>
      </c>
    </row>
    <row r="11" spans="1:10" x14ac:dyDescent="0.3">
      <c r="A11">
        <v>10</v>
      </c>
      <c r="B11" s="3">
        <v>20</v>
      </c>
      <c r="D11" s="3">
        <f t="shared" si="0"/>
        <v>3.6000000000000014</v>
      </c>
      <c r="F11" s="3">
        <f t="shared" si="1"/>
        <v>3.5</v>
      </c>
      <c r="H11" s="3">
        <f t="shared" si="2"/>
        <v>12.96000000000001</v>
      </c>
    </row>
    <row r="13" spans="1:10" x14ac:dyDescent="0.3">
      <c r="A13" t="s">
        <v>1</v>
      </c>
      <c r="B13" s="3">
        <f>SUM(B2:B11)</f>
        <v>164</v>
      </c>
      <c r="D13" s="6">
        <f>SUM(D2:D11)</f>
        <v>1.4210854715202004E-14</v>
      </c>
      <c r="E13" s="7"/>
      <c r="F13" s="4">
        <f>SUM(F2:F11)</f>
        <v>20</v>
      </c>
      <c r="G13" s="5" t="s">
        <v>6</v>
      </c>
      <c r="H13" s="4">
        <f>SUM(H2:H11)</f>
        <v>62.399999999999984</v>
      </c>
      <c r="I13" s="7"/>
      <c r="J13" s="6"/>
    </row>
    <row r="14" spans="1:10" x14ac:dyDescent="0.3">
      <c r="A14" t="s">
        <v>2</v>
      </c>
      <c r="B14" s="3">
        <f>AVERAGE(B2:B11)</f>
        <v>16.399999999999999</v>
      </c>
      <c r="G14" t="s">
        <v>4</v>
      </c>
      <c r="H14" s="3">
        <f>H13/10</f>
        <v>6.2399999999999984</v>
      </c>
    </row>
    <row r="15" spans="1:10" x14ac:dyDescent="0.3">
      <c r="A15" t="s">
        <v>3</v>
      </c>
      <c r="B15" s="3">
        <f>MEDIAN(B2:B11)</f>
        <v>16.5</v>
      </c>
      <c r="G15" t="s">
        <v>5</v>
      </c>
      <c r="H15" s="4">
        <f>H14^(1/2)</f>
        <v>2.4979991993593589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BRANDAO</dc:creator>
  <cp:lastModifiedBy>BRUNO BRANDAO</cp:lastModifiedBy>
  <dcterms:created xsi:type="dcterms:W3CDTF">2024-05-08T00:27:09Z</dcterms:created>
  <dcterms:modified xsi:type="dcterms:W3CDTF">2024-05-08T00:59:34Z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2024-05-08T00:59:08Z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d67eb2f9-c229-4b11-89c7-335bbba70627</vt:lpwstr>
  </property>
  <property fmtid="{D5CDD505-2E9C-101B-9397-08002B2CF9AE}" pid="7" name="MSIP_Label_defa4170-0d19-0005-0004-bc88714345d2_ActionId">
    <vt:lpwstr>f7e5ee92-eab6-4852-a4a9-928cdabf7a25</vt:lpwstr>
  </property>
  <property fmtid="{D5CDD505-2E9C-101B-9397-08002B2CF9AE}" pid="8" name="MSIP_Label_defa4170-0d19-0005-0004-bc88714345d2_ContentBits">
    <vt:lpwstr>0</vt:lpwstr>
  </property>
</Properties>
</file>