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G:\Meu Drive\01 - Faculdade de Ciência de Dados\Uni-DS-Codes\Periodo 2\Estatística e Probabilidade com R\"/>
    </mc:Choice>
  </mc:AlternateContent>
  <xr:revisionPtr revIDLastSave="0" documentId="13_ncr:1_{6067399B-61D2-4AA6-9EF0-BC6C710F27CE}" xr6:coauthVersionLast="47" xr6:coauthVersionMax="47" xr10:uidLastSave="{00000000-0000-0000-0000-000000000000}"/>
  <bookViews>
    <workbookView xWindow="28680" yWindow="-120" windowWidth="21840" windowHeight="13740" xr2:uid="{5AB9029E-6037-47B6-AB8D-7053B1F339D7}"/>
  </bookViews>
  <sheets>
    <sheet name="1,2,3" sheetId="1" r:id="rId1"/>
    <sheet name="4,5,6" sheetId="2" r:id="rId2"/>
    <sheet name="Chupa-Cabra" sheetId="3" r:id="rId3"/>
    <sheet name="Q1" sheetId="4" r:id="rId4"/>
    <sheet name="Q2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5" l="1"/>
  <c r="J15" i="5"/>
  <c r="J14" i="5"/>
  <c r="F20" i="5"/>
  <c r="F16" i="5"/>
  <c r="F17" i="5"/>
  <c r="F18" i="5"/>
  <c r="F19" i="5"/>
  <c r="F15" i="5"/>
  <c r="E21" i="5"/>
  <c r="E20" i="5"/>
  <c r="E16" i="5"/>
  <c r="E17" i="5"/>
  <c r="E18" i="5"/>
  <c r="E19" i="5"/>
  <c r="E15" i="5"/>
  <c r="C20" i="5"/>
  <c r="D19" i="5"/>
  <c r="D18" i="5"/>
  <c r="D17" i="5"/>
  <c r="D16" i="5"/>
  <c r="D15" i="5"/>
  <c r="E7" i="5"/>
  <c r="F3" i="5"/>
  <c r="G3" i="5" s="1"/>
  <c r="E3" i="5"/>
  <c r="E4" i="5"/>
  <c r="E5" i="5"/>
  <c r="E6" i="5"/>
  <c r="E2" i="5"/>
  <c r="D3" i="5"/>
  <c r="D4" i="5"/>
  <c r="D5" i="5"/>
  <c r="D6" i="5"/>
  <c r="D2" i="5"/>
  <c r="C7" i="5"/>
  <c r="B11" i="4"/>
  <c r="A3" i="4"/>
  <c r="A4" i="4"/>
  <c r="A5" i="4"/>
  <c r="A6" i="4"/>
  <c r="A7" i="4" s="1"/>
  <c r="A8" i="4" s="1"/>
  <c r="A9" i="4" s="1"/>
  <c r="A10" i="4" s="1"/>
  <c r="A2" i="4"/>
  <c r="C13" i="3"/>
  <c r="A13" i="3"/>
  <c r="C12" i="3"/>
  <c r="A12" i="3"/>
  <c r="C11" i="3"/>
  <c r="A11" i="3"/>
  <c r="K3" i="2"/>
  <c r="J3" i="2"/>
  <c r="J1" i="2"/>
  <c r="D2" i="2"/>
  <c r="E2" i="2" s="1"/>
  <c r="D3" i="2"/>
  <c r="E3" i="2" s="1"/>
  <c r="D4" i="2"/>
  <c r="E4" i="2" s="1"/>
  <c r="D5" i="2"/>
  <c r="E5" i="2" s="1"/>
  <c r="D6" i="2"/>
  <c r="E6" i="2" s="1"/>
  <c r="C7" i="2"/>
  <c r="A28" i="1"/>
  <c r="A26" i="1"/>
  <c r="A27" i="1"/>
  <c r="F2" i="5" l="1"/>
  <c r="G2" i="5" s="1"/>
  <c r="F6" i="5"/>
  <c r="G6" i="5" s="1"/>
  <c r="F5" i="5"/>
  <c r="G5" i="5" s="1"/>
  <c r="F4" i="5"/>
  <c r="G4" i="5" s="1"/>
  <c r="E7" i="2"/>
  <c r="G7" i="5" l="1"/>
  <c r="J1" i="5" s="1"/>
  <c r="J2" i="5" s="1"/>
  <c r="J3" i="5" s="1"/>
  <c r="J2" i="2"/>
  <c r="E8" i="2"/>
  <c r="F5" i="2" l="1"/>
  <c r="G5" i="2" s="1"/>
  <c r="F3" i="2"/>
  <c r="G3" i="2" s="1"/>
  <c r="F6" i="2"/>
  <c r="G6" i="2" s="1"/>
  <c r="F4" i="2"/>
  <c r="G4" i="2" s="1"/>
  <c r="F2" i="2"/>
  <c r="G2" i="2" s="1"/>
  <c r="G7" i="2" s="1"/>
</calcChain>
</file>

<file path=xl/sharedStrings.xml><?xml version="1.0" encoding="utf-8"?>
<sst xmlns="http://schemas.openxmlformats.org/spreadsheetml/2006/main" count="42" uniqueCount="16">
  <si>
    <t>CV%</t>
  </si>
  <si>
    <t>S</t>
  </si>
  <si>
    <t>M</t>
  </si>
  <si>
    <t>Li</t>
  </si>
  <si>
    <t>Ls</t>
  </si>
  <si>
    <t>Fi</t>
  </si>
  <si>
    <t>Xi</t>
  </si>
  <si>
    <t>XiFi</t>
  </si>
  <si>
    <t>Xi²Fi</t>
  </si>
  <si>
    <t>S²</t>
  </si>
  <si>
    <t>(Xi-M)²</t>
  </si>
  <si>
    <t>(Xi-M)²Fi</t>
  </si>
  <si>
    <t>T1</t>
  </si>
  <si>
    <t>T2</t>
  </si>
  <si>
    <t>A T1 tem as idades dos alunos mais espalhada.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</si>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</sst>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2" applyFont="1"/>
    <xf numFmtId="9" fontId="0" fillId="0" borderId="0" xfId="2" applyNumberFormat="1" applyFont="1"/>
    <xf numFmtId="1" fontId="0" fillId="0" borderId="0" xfId="0" applyNumberFormat="1"/>
    <xf numFmtId="44" fontId="0" fillId="0" borderId="0" xfId="1" applyFont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984FF-DAF5-4302-B110-F1799CB7352D}">
  <dimension ref="A1:C28"/>
  <sheetViews>
    <sheetView tabSelected="1" workbookViewId="0"/>
  </sheetViews>
  <sheetFormatPr defaultRowHeight="14.4" x14ac:dyDescent="0.3"/>
  <sheetData>
    <row r="1" spans="1:1" x14ac:dyDescent="0.3">
      <c r="A1">
        <v>5</v>
      </c>
    </row>
    <row r="2" spans="1:1" x14ac:dyDescent="0.3">
      <c r="A2">
        <v>8</v>
      </c>
    </row>
    <row r="3" spans="1:1" x14ac:dyDescent="0.3">
      <c r="A3">
        <v>10</v>
      </c>
    </row>
    <row r="4" spans="1:1" x14ac:dyDescent="0.3">
      <c r="A4">
        <v>10</v>
      </c>
    </row>
    <row r="5" spans="1:1" x14ac:dyDescent="0.3">
      <c r="A5">
        <v>12</v>
      </c>
    </row>
    <row r="6" spans="1:1" x14ac:dyDescent="0.3">
      <c r="A6">
        <v>15</v>
      </c>
    </row>
    <row r="7" spans="1:1" x14ac:dyDescent="0.3">
      <c r="A7">
        <v>18</v>
      </c>
    </row>
    <row r="8" spans="1:1" x14ac:dyDescent="0.3">
      <c r="A8">
        <v>20</v>
      </c>
    </row>
    <row r="9" spans="1:1" x14ac:dyDescent="0.3">
      <c r="A9">
        <v>20</v>
      </c>
    </row>
    <row r="10" spans="1:1" x14ac:dyDescent="0.3">
      <c r="A10">
        <v>24</v>
      </c>
    </row>
    <row r="11" spans="1:1" x14ac:dyDescent="0.3">
      <c r="A11">
        <v>25</v>
      </c>
    </row>
    <row r="12" spans="1:1" x14ac:dyDescent="0.3">
      <c r="A12">
        <v>25</v>
      </c>
    </row>
    <row r="13" spans="1:1" x14ac:dyDescent="0.3">
      <c r="A13">
        <v>30</v>
      </c>
    </row>
    <row r="14" spans="1:1" x14ac:dyDescent="0.3">
      <c r="A14">
        <v>38</v>
      </c>
    </row>
    <row r="15" spans="1:1" x14ac:dyDescent="0.3">
      <c r="A15">
        <v>45</v>
      </c>
    </row>
    <row r="16" spans="1:1" x14ac:dyDescent="0.3">
      <c r="A16">
        <v>52</v>
      </c>
    </row>
    <row r="17" spans="1:3" x14ac:dyDescent="0.3">
      <c r="A17">
        <v>52</v>
      </c>
    </row>
    <row r="18" spans="1:3" x14ac:dyDescent="0.3">
      <c r="A18">
        <v>60</v>
      </c>
    </row>
    <row r="19" spans="1:3" x14ac:dyDescent="0.3">
      <c r="A19">
        <v>65</v>
      </c>
    </row>
    <row r="20" spans="1:3" x14ac:dyDescent="0.3">
      <c r="A20">
        <v>70</v>
      </c>
    </row>
    <row r="21" spans="1:3" x14ac:dyDescent="0.3">
      <c r="A21">
        <v>70</v>
      </c>
    </row>
    <row r="22" spans="1:3" x14ac:dyDescent="0.3">
      <c r="A22">
        <v>79</v>
      </c>
    </row>
    <row r="23" spans="1:3" x14ac:dyDescent="0.3">
      <c r="A23">
        <v>84</v>
      </c>
    </row>
    <row r="24" spans="1:3" x14ac:dyDescent="0.3">
      <c r="A24">
        <v>90</v>
      </c>
    </row>
    <row r="26" spans="1:3" x14ac:dyDescent="0.3">
      <c r="A26">
        <f>_xlfn.STDEV.P(A1:A24)</f>
        <v>26.300843617648464</v>
      </c>
      <c r="B26" t="s">
        <v>1</v>
      </c>
      <c r="C26" t="s">
        <v>15</v>
      </c>
    </row>
    <row r="27" spans="1:3" x14ac:dyDescent="0.3">
      <c r="A27">
        <f>AVERAGE(A1:A24)</f>
        <v>38.625</v>
      </c>
      <c r="B27" t="s">
        <v>2</v>
      </c>
      <c r="C27" t="s">
        <v>15</v>
      </c>
    </row>
    <row r="28" spans="1:3" x14ac:dyDescent="0.3">
      <c r="A28">
        <f>(A26/A27)*100</f>
        <v>68.092799010093103</v>
      </c>
      <c r="B28" t="s">
        <v>0</v>
      </c>
      <c r="C28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FA3FD-2D54-48C2-BF9C-9776B4FDF590}">
  <dimension ref="A1:L8"/>
  <sheetViews>
    <sheetView workbookViewId="0">
      <selection activeCell="L2" sqref="L2"/>
    </sheetView>
  </sheetViews>
  <sheetFormatPr defaultRowHeight="14.4" x14ac:dyDescent="0.3"/>
  <sheetData>
    <row r="1" spans="1:12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10</v>
      </c>
      <c r="G1" t="s">
        <v>11</v>
      </c>
      <c r="I1" t="s">
        <v>9</v>
      </c>
      <c r="J1">
        <f>G7/99</f>
        <v>147.98989898989899</v>
      </c>
      <c r="L1" t="s">
        <v>15</v>
      </c>
    </row>
    <row r="2" spans="1:12" x14ac:dyDescent="0.3">
      <c r="A2">
        <v>20</v>
      </c>
      <c r="B2">
        <v>30</v>
      </c>
      <c r="C2">
        <v>25</v>
      </c>
      <c r="D2">
        <f>(A2+B2)/2</f>
        <v>25</v>
      </c>
      <c r="E2">
        <f>C2*D2</f>
        <v>625</v>
      </c>
      <c r="F2">
        <f>(D2-$E$8)^2</f>
        <v>204.48999999999992</v>
      </c>
      <c r="G2">
        <f>C2*F2</f>
        <v>5112.2499999999982</v>
      </c>
      <c r="I2" t="s">
        <v>1</v>
      </c>
      <c r="J2">
        <f>SQRT(J1)</f>
        <v>12.165109904554869</v>
      </c>
      <c r="L2" t="s">
        <v>15</v>
      </c>
    </row>
    <row r="3" spans="1:12" x14ac:dyDescent="0.3">
      <c r="A3">
        <v>30</v>
      </c>
      <c r="B3">
        <v>40</v>
      </c>
      <c r="C3">
        <v>35</v>
      </c>
      <c r="D3">
        <f t="shared" ref="D3:D6" si="0">(A3+B3)/2</f>
        <v>35</v>
      </c>
      <c r="E3">
        <f>C3*D3</f>
        <v>1225</v>
      </c>
      <c r="F3">
        <f t="shared" ref="F3:F6" si="1">(D3-$E$8)^2</f>
        <v>18.489999999999977</v>
      </c>
      <c r="G3">
        <f t="shared" ref="G3:G6" si="2">C3*F3</f>
        <v>647.14999999999918</v>
      </c>
      <c r="I3" t="s">
        <v>0</v>
      </c>
      <c r="J3" s="2">
        <f>J2/E8</f>
        <v>0.30954478128638346</v>
      </c>
      <c r="K3" t="str">
        <f>IF(J3&lt;=0.1,"Baixa",IF(J3&lt;=0.3,"Moderada","Alta"))</f>
        <v>Alta</v>
      </c>
      <c r="L3" t="s">
        <v>15</v>
      </c>
    </row>
    <row r="4" spans="1:12" x14ac:dyDescent="0.3">
      <c r="A4">
        <v>40</v>
      </c>
      <c r="B4">
        <v>50</v>
      </c>
      <c r="C4">
        <v>20</v>
      </c>
      <c r="D4">
        <f t="shared" si="0"/>
        <v>45</v>
      </c>
      <c r="E4">
        <f>C4*D4</f>
        <v>900</v>
      </c>
      <c r="F4">
        <f t="shared" si="1"/>
        <v>32.49000000000003</v>
      </c>
      <c r="G4">
        <f t="shared" si="2"/>
        <v>649.80000000000064</v>
      </c>
    </row>
    <row r="5" spans="1:12" x14ac:dyDescent="0.3">
      <c r="A5">
        <v>50</v>
      </c>
      <c r="B5">
        <v>60</v>
      </c>
      <c r="C5">
        <v>12</v>
      </c>
      <c r="D5">
        <f t="shared" si="0"/>
        <v>55</v>
      </c>
      <c r="E5">
        <f>C5*D5</f>
        <v>660</v>
      </c>
      <c r="F5">
        <f t="shared" si="1"/>
        <v>246.49000000000009</v>
      </c>
      <c r="G5">
        <f t="shared" si="2"/>
        <v>2957.880000000001</v>
      </c>
    </row>
    <row r="6" spans="1:12" x14ac:dyDescent="0.3">
      <c r="A6">
        <v>60</v>
      </c>
      <c r="B6">
        <v>70</v>
      </c>
      <c r="C6">
        <v>8</v>
      </c>
      <c r="D6">
        <f t="shared" si="0"/>
        <v>65</v>
      </c>
      <c r="E6">
        <f>C6*D6</f>
        <v>520</v>
      </c>
      <c r="F6">
        <f t="shared" si="1"/>
        <v>660.49000000000012</v>
      </c>
      <c r="G6">
        <f t="shared" si="2"/>
        <v>5283.920000000001</v>
      </c>
    </row>
    <row r="7" spans="1:12" x14ac:dyDescent="0.3">
      <c r="C7">
        <f>SUM(C2:C6)</f>
        <v>100</v>
      </c>
      <c r="E7">
        <f>SUM(E2:E6)</f>
        <v>3930</v>
      </c>
      <c r="G7">
        <f>SUM(G2:G6)</f>
        <v>14651</v>
      </c>
    </row>
    <row r="8" spans="1:12" x14ac:dyDescent="0.3">
      <c r="D8" t="s">
        <v>2</v>
      </c>
      <c r="E8">
        <f>E7/C7</f>
        <v>39.299999999999997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4347F-E1E7-4AF1-8FEF-D1CECF0FF080}">
  <dimension ref="A1:F15"/>
  <sheetViews>
    <sheetView workbookViewId="0">
      <selection activeCell="F15" sqref="F15"/>
    </sheetView>
  </sheetViews>
  <sheetFormatPr defaultRowHeight="14.4" x14ac:dyDescent="0.3"/>
  <sheetData>
    <row r="1" spans="1:6" x14ac:dyDescent="0.3">
      <c r="A1" t="s">
        <v>12</v>
      </c>
      <c r="C1" t="s">
        <v>13</v>
      </c>
    </row>
    <row r="2" spans="1:6" x14ac:dyDescent="0.3">
      <c r="A2">
        <v>8</v>
      </c>
      <c r="C2">
        <v>17</v>
      </c>
    </row>
    <row r="3" spans="1:6" x14ac:dyDescent="0.3">
      <c r="A3">
        <v>8</v>
      </c>
      <c r="C3">
        <v>17</v>
      </c>
    </row>
    <row r="4" spans="1:6" x14ac:dyDescent="0.3">
      <c r="A4">
        <v>8</v>
      </c>
      <c r="C4">
        <v>19</v>
      </c>
    </row>
    <row r="5" spans="1:6" x14ac:dyDescent="0.3">
      <c r="A5">
        <v>9</v>
      </c>
      <c r="C5">
        <v>19</v>
      </c>
    </row>
    <row r="6" spans="1:6" x14ac:dyDescent="0.3">
      <c r="A6">
        <v>9</v>
      </c>
      <c r="C6">
        <v>20</v>
      </c>
    </row>
    <row r="7" spans="1:6" x14ac:dyDescent="0.3">
      <c r="A7">
        <v>10</v>
      </c>
      <c r="C7">
        <v>20</v>
      </c>
    </row>
    <row r="8" spans="1:6" x14ac:dyDescent="0.3">
      <c r="A8">
        <v>10</v>
      </c>
      <c r="C8">
        <v>21</v>
      </c>
    </row>
    <row r="9" spans="1:6" x14ac:dyDescent="0.3">
      <c r="A9">
        <v>12</v>
      </c>
      <c r="C9">
        <v>23</v>
      </c>
    </row>
    <row r="11" spans="1:6" x14ac:dyDescent="0.3">
      <c r="A11">
        <f>_xlfn.STDEV.S(A2:A9)</f>
        <v>1.3887301496588271</v>
      </c>
      <c r="C11">
        <f>_xlfn.STDEV.S(C2:C9)</f>
        <v>2</v>
      </c>
    </row>
    <row r="12" spans="1:6" x14ac:dyDescent="0.3">
      <c r="A12">
        <f>AVERAGE(A2:A9)</f>
        <v>9.25</v>
      </c>
      <c r="C12">
        <f>AVERAGE(C2:C9)</f>
        <v>19.5</v>
      </c>
    </row>
    <row r="13" spans="1:6" x14ac:dyDescent="0.3">
      <c r="A13" s="1">
        <f>A11/A12</f>
        <v>0.15013298915230563</v>
      </c>
      <c r="B13" s="1"/>
      <c r="C13" s="1">
        <f>C11/C12</f>
        <v>0.10256410256410256</v>
      </c>
    </row>
    <row r="15" spans="1:6" x14ac:dyDescent="0.3">
      <c r="A15" t="s">
        <v>14</v>
      </c>
      <c r="F15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56A6E-D0FE-4B43-A0CD-F56EF6F4770F}">
  <dimension ref="A1:C11"/>
  <sheetViews>
    <sheetView workbookViewId="0">
      <selection activeCell="C12" sqref="C12"/>
    </sheetView>
  </sheetViews>
  <sheetFormatPr defaultRowHeight="14.4" x14ac:dyDescent="0.3"/>
  <sheetData>
    <row r="1" spans="1:3" x14ac:dyDescent="0.3">
      <c r="A1">
        <v>1</v>
      </c>
      <c r="B1">
        <v>8522</v>
      </c>
    </row>
    <row r="2" spans="1:3" x14ac:dyDescent="0.3">
      <c r="A2">
        <f>A1+1</f>
        <v>2</v>
      </c>
      <c r="B2">
        <v>12630</v>
      </c>
    </row>
    <row r="3" spans="1:3" x14ac:dyDescent="0.3">
      <c r="A3">
        <f t="shared" ref="A3:A10" si="0">A2+1</f>
        <v>3</v>
      </c>
      <c r="B3">
        <v>7453</v>
      </c>
    </row>
    <row r="4" spans="1:3" x14ac:dyDescent="0.3">
      <c r="A4">
        <f t="shared" si="0"/>
        <v>4</v>
      </c>
      <c r="B4">
        <v>6005</v>
      </c>
    </row>
    <row r="5" spans="1:3" x14ac:dyDescent="0.3">
      <c r="A5">
        <f t="shared" si="0"/>
        <v>5</v>
      </c>
      <c r="B5">
        <v>5874</v>
      </c>
    </row>
    <row r="6" spans="1:3" x14ac:dyDescent="0.3">
      <c r="A6">
        <f t="shared" si="0"/>
        <v>6</v>
      </c>
      <c r="B6">
        <v>6612</v>
      </c>
    </row>
    <row r="7" spans="1:3" x14ac:dyDescent="0.3">
      <c r="A7">
        <f t="shared" si="0"/>
        <v>7</v>
      </c>
      <c r="B7">
        <v>8439</v>
      </c>
    </row>
    <row r="8" spans="1:3" x14ac:dyDescent="0.3">
      <c r="A8">
        <f t="shared" si="0"/>
        <v>8</v>
      </c>
      <c r="B8">
        <v>7531</v>
      </c>
    </row>
    <row r="9" spans="1:3" x14ac:dyDescent="0.3">
      <c r="A9">
        <f t="shared" si="0"/>
        <v>9</v>
      </c>
      <c r="B9">
        <v>6430</v>
      </c>
    </row>
    <row r="10" spans="1:3" x14ac:dyDescent="0.3">
      <c r="A10">
        <f t="shared" si="0"/>
        <v>10</v>
      </c>
      <c r="B10">
        <v>4986</v>
      </c>
    </row>
    <row r="11" spans="1:3" x14ac:dyDescent="0.3">
      <c r="B11" s="3">
        <f>_xlfn.STDEV.S(B1:B10)</f>
        <v>2143.5169335567302</v>
      </c>
      <c r="C11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A5D7B-3721-40AF-A1F8-E2AD238C43F9}">
  <dimension ref="A1:K21"/>
  <sheetViews>
    <sheetView workbookViewId="0">
      <selection activeCell="K17" sqref="K17"/>
    </sheetView>
  </sheetViews>
  <sheetFormatPr defaultRowHeight="14.4" x14ac:dyDescent="0.3"/>
  <cols>
    <col min="6" max="6" width="10" bestFit="1" customWidth="1"/>
    <col min="7" max="7" width="11" bestFit="1" customWidth="1"/>
    <col min="10" max="10" width="16.5546875" bestFit="1" customWidth="1"/>
  </cols>
  <sheetData>
    <row r="1" spans="1:11" x14ac:dyDescent="0.3">
      <c r="C1" t="s">
        <v>5</v>
      </c>
      <c r="D1" t="s">
        <v>6</v>
      </c>
      <c r="E1" t="s">
        <v>7</v>
      </c>
      <c r="F1" t="s">
        <v>10</v>
      </c>
      <c r="G1" t="s">
        <v>11</v>
      </c>
      <c r="I1" t="s">
        <v>9</v>
      </c>
      <c r="J1" s="4">
        <f>G7/C7</f>
        <v>97470520</v>
      </c>
    </row>
    <row r="2" spans="1:11" x14ac:dyDescent="0.3">
      <c r="A2">
        <v>100</v>
      </c>
      <c r="B2">
        <v>300</v>
      </c>
      <c r="C2">
        <v>8</v>
      </c>
      <c r="D2">
        <f>(A2+B2)/2</f>
        <v>200</v>
      </c>
      <c r="E2">
        <f>C2*D2</f>
        <v>1600</v>
      </c>
      <c r="F2">
        <f>(D2-$E$7)^2</f>
        <v>114918400</v>
      </c>
      <c r="G2">
        <f>C2*F2</f>
        <v>919347200</v>
      </c>
      <c r="I2" t="s">
        <v>1</v>
      </c>
      <c r="J2" s="4">
        <f>SQRT(J1)</f>
        <v>9872.715938382913</v>
      </c>
    </row>
    <row r="3" spans="1:11" x14ac:dyDescent="0.3">
      <c r="A3">
        <v>300</v>
      </c>
      <c r="B3">
        <v>500</v>
      </c>
      <c r="C3">
        <v>10</v>
      </c>
      <c r="D3">
        <f t="shared" ref="D3:D6" si="0">(A3+B3)/2</f>
        <v>400</v>
      </c>
      <c r="E3">
        <f t="shared" ref="E3:E6" si="1">C3*D3</f>
        <v>4000</v>
      </c>
      <c r="F3">
        <f t="shared" ref="F3:F6" si="2">(D3-$E$7)^2</f>
        <v>110670400</v>
      </c>
      <c r="G3">
        <f t="shared" ref="G3:G6" si="3">C3*F3</f>
        <v>1106704000</v>
      </c>
      <c r="I3" t="s">
        <v>0</v>
      </c>
      <c r="J3" s="1">
        <f>J2/E7</f>
        <v>0.90409486615228141</v>
      </c>
    </row>
    <row r="4" spans="1:11" x14ac:dyDescent="0.3">
      <c r="A4">
        <v>500</v>
      </c>
      <c r="B4">
        <v>1000</v>
      </c>
      <c r="C4">
        <v>12</v>
      </c>
      <c r="D4">
        <f t="shared" si="0"/>
        <v>750</v>
      </c>
      <c r="E4">
        <f t="shared" si="1"/>
        <v>9000</v>
      </c>
      <c r="F4">
        <f t="shared" si="2"/>
        <v>103428900</v>
      </c>
      <c r="G4">
        <f t="shared" si="3"/>
        <v>1241146800</v>
      </c>
    </row>
    <row r="5" spans="1:11" x14ac:dyDescent="0.3">
      <c r="A5">
        <v>1000</v>
      </c>
      <c r="B5">
        <v>2000</v>
      </c>
      <c r="C5">
        <v>15</v>
      </c>
      <c r="D5">
        <f t="shared" si="0"/>
        <v>1500</v>
      </c>
      <c r="E5">
        <f t="shared" si="1"/>
        <v>22500</v>
      </c>
      <c r="F5">
        <f t="shared" si="2"/>
        <v>88736400</v>
      </c>
      <c r="G5">
        <f t="shared" si="3"/>
        <v>1331046000</v>
      </c>
    </row>
    <row r="6" spans="1:11" x14ac:dyDescent="0.3">
      <c r="A6">
        <v>2000</v>
      </c>
      <c r="B6">
        <v>5000</v>
      </c>
      <c r="C6">
        <v>5</v>
      </c>
      <c r="D6">
        <f t="shared" si="0"/>
        <v>3500</v>
      </c>
      <c r="E6">
        <f t="shared" si="1"/>
        <v>17500</v>
      </c>
      <c r="F6">
        <f t="shared" si="2"/>
        <v>55056400</v>
      </c>
      <c r="G6">
        <f t="shared" si="3"/>
        <v>275282000</v>
      </c>
    </row>
    <row r="7" spans="1:11" x14ac:dyDescent="0.3">
      <c r="C7">
        <f>SUM(C2:C6)</f>
        <v>50</v>
      </c>
      <c r="E7">
        <f>AVERAGE(E2:E6)</f>
        <v>10920</v>
      </c>
      <c r="G7">
        <f>SUM(G2:G6)</f>
        <v>4873526000</v>
      </c>
    </row>
    <row r="14" spans="1:11" x14ac:dyDescent="0.3">
      <c r="C14" t="s">
        <v>5</v>
      </c>
      <c r="D14" t="s">
        <v>6</v>
      </c>
      <c r="E14" t="s">
        <v>7</v>
      </c>
      <c r="F14" t="s">
        <v>8</v>
      </c>
      <c r="I14" t="s">
        <v>9</v>
      </c>
      <c r="J14">
        <f>(1/49)*(F20-((E20^2)/C20))</f>
        <v>898914.28571428568</v>
      </c>
    </row>
    <row r="15" spans="1:11" x14ac:dyDescent="0.3">
      <c r="A15">
        <v>100</v>
      </c>
      <c r="B15">
        <v>300</v>
      </c>
      <c r="C15">
        <v>8</v>
      </c>
      <c r="D15">
        <f>(A15+B15)/2</f>
        <v>200</v>
      </c>
      <c r="E15">
        <f>C15*D15</f>
        <v>1600</v>
      </c>
      <c r="F15">
        <f>(D15^2)*C15</f>
        <v>320000</v>
      </c>
      <c r="I15" t="s">
        <v>1</v>
      </c>
      <c r="J15">
        <f>SQRT(J14)</f>
        <v>948.11090369971259</v>
      </c>
    </row>
    <row r="16" spans="1:11" x14ac:dyDescent="0.3">
      <c r="A16">
        <v>300</v>
      </c>
      <c r="B16">
        <v>500</v>
      </c>
      <c r="C16">
        <v>10</v>
      </c>
      <c r="D16">
        <f t="shared" ref="D16:D19" si="4">(A16+B16)/2</f>
        <v>400</v>
      </c>
      <c r="E16">
        <f t="shared" ref="E16:E19" si="5">C16*D16</f>
        <v>4000</v>
      </c>
      <c r="F16">
        <f t="shared" ref="F16:F19" si="6">(D16^2)*C16</f>
        <v>1600000</v>
      </c>
      <c r="I16" t="s">
        <v>0</v>
      </c>
      <c r="J16" s="1">
        <f>J15/E21</f>
        <v>0.86823342829644012</v>
      </c>
      <c r="K16" t="s">
        <v>15</v>
      </c>
    </row>
    <row r="17" spans="1:6" x14ac:dyDescent="0.3">
      <c r="A17">
        <v>500</v>
      </c>
      <c r="B17">
        <v>1000</v>
      </c>
      <c r="C17">
        <v>12</v>
      </c>
      <c r="D17">
        <f t="shared" si="4"/>
        <v>750</v>
      </c>
      <c r="E17">
        <f t="shared" si="5"/>
        <v>9000</v>
      </c>
      <c r="F17">
        <f t="shared" si="6"/>
        <v>6750000</v>
      </c>
    </row>
    <row r="18" spans="1:6" x14ac:dyDescent="0.3">
      <c r="A18">
        <v>1000</v>
      </c>
      <c r="B18">
        <v>2000</v>
      </c>
      <c r="C18">
        <v>15</v>
      </c>
      <c r="D18">
        <f t="shared" si="4"/>
        <v>1500</v>
      </c>
      <c r="E18">
        <f t="shared" si="5"/>
        <v>22500</v>
      </c>
      <c r="F18">
        <f t="shared" si="6"/>
        <v>33750000</v>
      </c>
    </row>
    <row r="19" spans="1:6" x14ac:dyDescent="0.3">
      <c r="A19">
        <v>2000</v>
      </c>
      <c r="B19">
        <v>5000</v>
      </c>
      <c r="C19">
        <v>5</v>
      </c>
      <c r="D19">
        <f t="shared" si="4"/>
        <v>3500</v>
      </c>
      <c r="E19">
        <f t="shared" si="5"/>
        <v>17500</v>
      </c>
      <c r="F19">
        <f t="shared" si="6"/>
        <v>61250000</v>
      </c>
    </row>
    <row r="20" spans="1:6" x14ac:dyDescent="0.3">
      <c r="C20">
        <f>SUM(C15:C19)</f>
        <v>50</v>
      </c>
      <c r="E20">
        <f>SUM(E15:E19)</f>
        <v>54600</v>
      </c>
      <c r="F20">
        <f>SUM(F15:F19)</f>
        <v>103670000</v>
      </c>
    </row>
    <row r="21" spans="1:6" x14ac:dyDescent="0.3">
      <c r="D21" t="s">
        <v>2</v>
      </c>
      <c r="E21">
        <f>E20/C20</f>
        <v>1092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1,2,3</vt:lpstr>
      <vt:lpstr>4,5,6</vt:lpstr>
      <vt:lpstr>Chupa-Cabra</vt:lpstr>
      <vt:lpstr>Q1</vt:lpstr>
      <vt:lpstr>Q2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BRANDAO</dc:creator>
  <cp:lastModifiedBy>BRUNO BRANDAO</cp:lastModifiedBy>
  <dcterms:created xsi:type="dcterms:W3CDTF">2024-05-11T00:23:35Z</dcterms:created>
  <dcterms:modified xsi:type="dcterms:W3CDTF">2024-05-11T01:07:12Z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2024-05-11T00:44:18Z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d67eb2f9-c229-4b11-89c7-335bbba70627</vt:lpwstr>
  </property>
  <property fmtid="{D5CDD505-2E9C-101B-9397-08002B2CF9AE}" pid="7" name="MSIP_Label_defa4170-0d19-0005-0004-bc88714345d2_ActionId">
    <vt:lpwstr>0db3847e-30b6-4cc0-adae-af70e95f94ca</vt:lpwstr>
  </property>
  <property fmtid="{D5CDD505-2E9C-101B-9397-08002B2CF9AE}" pid="8" name="MSIP_Label_defa4170-0d19-0005-0004-bc88714345d2_ContentBits">
    <vt:lpwstr>0</vt:lpwstr>
  </property>
</Properties>
</file>