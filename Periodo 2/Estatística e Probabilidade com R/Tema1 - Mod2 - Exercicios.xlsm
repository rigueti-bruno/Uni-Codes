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G:\Meu Drive\01 - Faculdade de Ciência de Dados\Uni-DS-Codes\Periodo 2\Estatística e Probabilidade com R\"/>
    </mc:Choice>
  </mc:AlternateContent>
  <xr:revisionPtr revIDLastSave="0" documentId="8_{11084A8D-1152-4FE7-8532-E7739DB09289}" xr6:coauthVersionLast="47" xr6:coauthVersionMax="47" xr10:uidLastSave="{00000000-0000-0000-0000-000000000000}"/>
  <bookViews>
    <workbookView xWindow="28680" yWindow="-120" windowWidth="21840" windowHeight="13740" xr2:uid="{6ED85420-4E2E-43C9-A95C-44759F76C0CC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1" l="1"/>
  <c r="R10" i="1"/>
  <c r="P5" i="1"/>
  <c r="P9" i="1"/>
  <c r="P8" i="1"/>
  <c r="P7" i="1"/>
  <c r="P6" i="1"/>
  <c r="M12" i="1"/>
  <c r="M5" i="1"/>
  <c r="M10" i="1"/>
  <c r="M9" i="1"/>
  <c r="M8" i="1"/>
  <c r="M6" i="1"/>
  <c r="J11" i="1"/>
  <c r="J10" i="1"/>
  <c r="J6" i="1"/>
  <c r="J7" i="1"/>
  <c r="J8" i="1"/>
  <c r="J9" i="1"/>
  <c r="J5" i="1"/>
  <c r="I6" i="1"/>
  <c r="I7" i="1"/>
  <c r="I8" i="1"/>
  <c r="I9" i="1"/>
  <c r="I5" i="1"/>
  <c r="H13" i="1"/>
  <c r="E17" i="1"/>
  <c r="G7" i="1"/>
  <c r="G8" i="1"/>
  <c r="G9" i="1"/>
  <c r="G6" i="1"/>
  <c r="G5" i="1"/>
  <c r="E12" i="1"/>
  <c r="F10" i="1"/>
</calcChain>
</file>

<file path=xl/sharedStrings.xml><?xml version="1.0" encoding="utf-8"?>
<sst xmlns="http://schemas.openxmlformats.org/spreadsheetml/2006/main" count="23" uniqueCount="18">
  <si>
    <t>eq1</t>
  </si>
  <si>
    <t>Fi</t>
  </si>
  <si>
    <t>Fac</t>
  </si>
  <si>
    <t>CQ1</t>
  </si>
  <si>
    <t>Lq1</t>
  </si>
  <si>
    <t>Faac</t>
  </si>
  <si>
    <t>Fq1</t>
  </si>
  <si>
    <t>h</t>
  </si>
  <si>
    <t>Q1</t>
  </si>
  <si>
    <t>MD</t>
  </si>
  <si>
    <t>ME</t>
  </si>
  <si>
    <t>Emd</t>
  </si>
  <si>
    <t>Lmd</t>
  </si>
  <si>
    <t>Fmd</t>
  </si>
  <si>
    <t>MO</t>
  </si>
  <si>
    <t>Lmo</t>
  </si>
  <si>
    <t>V1</t>
  </si>
  <si>
    <t>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</si>
</sst>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264E2-EE5C-4E1A-8B2C-477562437827}">
  <dimension ref="A1:R17"/>
  <sheetViews>
    <sheetView tabSelected="1" workbookViewId="0">
      <selection activeCell="J15" sqref="J15"/>
    </sheetView>
  </sheetViews>
  <sheetFormatPr defaultRowHeight="14.4" x14ac:dyDescent="0.3"/>
  <cols>
    <col min="10" max="10" width="11.77734375" bestFit="1" customWidth="1"/>
  </cols>
  <sheetData>
    <row r="1" spans="1:18" x14ac:dyDescent="0.3">
      <c r="A1">
        <v>8522</v>
      </c>
      <c r="D1">
        <v>8522</v>
      </c>
      <c r="E1">
        <v>12630</v>
      </c>
      <c r="F1">
        <v>7453</v>
      </c>
      <c r="G1">
        <v>6005</v>
      </c>
      <c r="H1">
        <v>5874</v>
      </c>
      <c r="I1">
        <v>6612</v>
      </c>
      <c r="J1">
        <v>8439</v>
      </c>
      <c r="K1">
        <v>7531</v>
      </c>
      <c r="L1">
        <v>6430</v>
      </c>
      <c r="M1">
        <v>4986</v>
      </c>
    </row>
    <row r="2" spans="1:18" x14ac:dyDescent="0.3">
      <c r="A2">
        <v>12630</v>
      </c>
    </row>
    <row r="3" spans="1:18" x14ac:dyDescent="0.3">
      <c r="A3">
        <v>7453</v>
      </c>
    </row>
    <row r="4" spans="1:18" x14ac:dyDescent="0.3">
      <c r="A4">
        <v>6005</v>
      </c>
      <c r="F4" t="s">
        <v>1</v>
      </c>
      <c r="G4" t="s">
        <v>2</v>
      </c>
    </row>
    <row r="5" spans="1:18" x14ac:dyDescent="0.3">
      <c r="D5">
        <v>100</v>
      </c>
      <c r="E5">
        <v>300</v>
      </c>
      <c r="F5">
        <v>8</v>
      </c>
      <c r="G5">
        <f>F5</f>
        <v>8</v>
      </c>
      <c r="I5">
        <f>AVERAGE(D5:E5)</f>
        <v>200</v>
      </c>
      <c r="J5">
        <f>F5*I5</f>
        <v>1600</v>
      </c>
      <c r="L5" t="s">
        <v>9</v>
      </c>
      <c r="M5">
        <f>M7+(((M6-M8)/M9)*M10)</f>
        <v>791.66666666666674</v>
      </c>
      <c r="O5" t="s">
        <v>14</v>
      </c>
      <c r="P5">
        <f>P6+((P7/(P7+P8))*P9)</f>
        <v>1230.7692307692307</v>
      </c>
    </row>
    <row r="6" spans="1:18" x14ac:dyDescent="0.3">
      <c r="D6">
        <v>300</v>
      </c>
      <c r="E6">
        <v>500</v>
      </c>
      <c r="F6">
        <v>10</v>
      </c>
      <c r="G6">
        <f>G5+F6</f>
        <v>18</v>
      </c>
      <c r="H6" t="s">
        <v>3</v>
      </c>
      <c r="I6">
        <f t="shared" ref="I6:I9" si="0">AVERAGE(D6:E6)</f>
        <v>400</v>
      </c>
      <c r="J6">
        <f t="shared" ref="J6:J9" si="1">F6*I6</f>
        <v>4000</v>
      </c>
      <c r="L6" t="s">
        <v>11</v>
      </c>
      <c r="M6">
        <f>F10/2</f>
        <v>25</v>
      </c>
      <c r="O6" t="s">
        <v>15</v>
      </c>
      <c r="P6">
        <f>D8</f>
        <v>1000</v>
      </c>
    </row>
    <row r="7" spans="1:18" x14ac:dyDescent="0.3">
      <c r="D7">
        <v>500</v>
      </c>
      <c r="E7">
        <v>1000</v>
      </c>
      <c r="F7">
        <v>12</v>
      </c>
      <c r="G7">
        <f t="shared" ref="G7:G9" si="2">G6+F7</f>
        <v>30</v>
      </c>
      <c r="H7" t="s">
        <v>9</v>
      </c>
      <c r="I7">
        <f t="shared" si="0"/>
        <v>750</v>
      </c>
      <c r="J7">
        <f t="shared" si="1"/>
        <v>9000</v>
      </c>
      <c r="L7" t="s">
        <v>12</v>
      </c>
      <c r="M7">
        <v>500</v>
      </c>
      <c r="O7" t="s">
        <v>16</v>
      </c>
      <c r="P7">
        <f>F8-F7</f>
        <v>3</v>
      </c>
    </row>
    <row r="8" spans="1:18" x14ac:dyDescent="0.3">
      <c r="D8">
        <v>1000</v>
      </c>
      <c r="E8">
        <v>2000</v>
      </c>
      <c r="F8">
        <v>15</v>
      </c>
      <c r="G8">
        <f t="shared" si="2"/>
        <v>45</v>
      </c>
      <c r="H8" t="s">
        <v>14</v>
      </c>
      <c r="I8">
        <f t="shared" si="0"/>
        <v>1500</v>
      </c>
      <c r="J8">
        <f t="shared" si="1"/>
        <v>22500</v>
      </c>
      <c r="L8" t="s">
        <v>2</v>
      </c>
      <c r="M8">
        <f>G6</f>
        <v>18</v>
      </c>
      <c r="O8" t="s">
        <v>17</v>
      </c>
      <c r="P8">
        <f>F8-F9</f>
        <v>10</v>
      </c>
    </row>
    <row r="9" spans="1:18" x14ac:dyDescent="0.3">
      <c r="D9">
        <v>2000</v>
      </c>
      <c r="E9">
        <v>5000</v>
      </c>
      <c r="F9">
        <v>5</v>
      </c>
      <c r="G9">
        <f t="shared" si="2"/>
        <v>50</v>
      </c>
      <c r="I9">
        <f t="shared" si="0"/>
        <v>3500</v>
      </c>
      <c r="J9">
        <f t="shared" si="1"/>
        <v>17500</v>
      </c>
      <c r="L9" t="s">
        <v>13</v>
      </c>
      <c r="M9">
        <f>F7</f>
        <v>12</v>
      </c>
      <c r="O9" t="s">
        <v>7</v>
      </c>
      <c r="P9">
        <f>E8-D8</f>
        <v>1000</v>
      </c>
    </row>
    <row r="10" spans="1:18" x14ac:dyDescent="0.3">
      <c r="F10">
        <f>SUM(F5:F9)</f>
        <v>50</v>
      </c>
      <c r="J10">
        <f>SUM(J5:J9)</f>
        <v>54600</v>
      </c>
      <c r="L10" t="s">
        <v>7</v>
      </c>
      <c r="M10">
        <f>E7-D7</f>
        <v>500</v>
      </c>
      <c r="R10" t="b">
        <f>M5&gt;O5</f>
        <v>0</v>
      </c>
    </row>
    <row r="11" spans="1:18" x14ac:dyDescent="0.3">
      <c r="I11" t="s">
        <v>10</v>
      </c>
      <c r="J11">
        <f>J10/F10</f>
        <v>1092</v>
      </c>
    </row>
    <row r="12" spans="1:18" x14ac:dyDescent="0.3">
      <c r="D12" t="s">
        <v>0</v>
      </c>
      <c r="E12">
        <f>1*(F10/4)</f>
        <v>12.5</v>
      </c>
      <c r="M12" t="b">
        <f>J11&lt;M5</f>
        <v>0</v>
      </c>
    </row>
    <row r="13" spans="1:18" x14ac:dyDescent="0.3">
      <c r="G13" t="s">
        <v>8</v>
      </c>
      <c r="H13">
        <f>E14+(((E12-E15)/E16)*E17)</f>
        <v>390</v>
      </c>
    </row>
    <row r="14" spans="1:18" x14ac:dyDescent="0.3">
      <c r="D14" t="s">
        <v>4</v>
      </c>
      <c r="E14">
        <v>300</v>
      </c>
      <c r="J14" t="b">
        <f>J11&lt;P5</f>
        <v>1</v>
      </c>
    </row>
    <row r="15" spans="1:18" x14ac:dyDescent="0.3">
      <c r="D15" t="s">
        <v>5</v>
      </c>
      <c r="E15">
        <v>8</v>
      </c>
    </row>
    <row r="16" spans="1:18" x14ac:dyDescent="0.3">
      <c r="D16" t="s">
        <v>6</v>
      </c>
      <c r="E16">
        <v>10</v>
      </c>
    </row>
    <row r="17" spans="4:5" x14ac:dyDescent="0.3">
      <c r="D17" t="s">
        <v>7</v>
      </c>
      <c r="E17">
        <f>500-300</f>
        <v>200</v>
      </c>
    </row>
  </sheetData>
  <sortState xmlns:xlrd2="http://schemas.microsoft.com/office/spreadsheetml/2017/richdata2" ref="D5:F12">
    <sortCondition ref="D5:D12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BRANDAO</dc:creator>
  <cp:lastModifiedBy>BRUNO BRANDAO</cp:lastModifiedBy>
  <dcterms:created xsi:type="dcterms:W3CDTF">2024-05-01T01:55:24Z</dcterms:created>
  <dcterms:modified xsi:type="dcterms:W3CDTF">2024-05-01T02:09:01Z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2024-05-01T02:08:13Z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d67eb2f9-c229-4b11-89c7-335bbba70627</vt:lpwstr>
  </property>
  <property fmtid="{D5CDD505-2E9C-101B-9397-08002B2CF9AE}" pid="7" name="MSIP_Label_defa4170-0d19-0005-0004-bc88714345d2_ActionId">
    <vt:lpwstr>579974cc-55af-4dc8-b3b4-5d70e2b97bd0</vt:lpwstr>
  </property>
  <property fmtid="{D5CDD505-2E9C-101B-9397-08002B2CF9AE}" pid="8" name="MSIP_Label_defa4170-0d19-0005-0004-bc88714345d2_ContentBits">
    <vt:lpwstr>0</vt:lpwstr>
  </property>
</Properties>
</file>