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/>
  <workbookPr defaultThemeVersion="166925"/>
  <mc:AlternateContent xmlns:mc="http://schemas.openxmlformats.org/markup-compatibility/2006">
    <mc:Choice Requires="x15">
      <x15ac:absPath xmlns:x15ac="http://schemas.microsoft.com/office/spreadsheetml/2010/11/ac" url="G:\Meu Drive\01 - Faculdade de Ciência de Dados\Periodo 1\Analise Combinatoria\"/>
    </mc:Choice>
  </mc:AlternateContent>
  <xr:revisionPtr revIDLastSave="0" documentId="8_{F947B7A6-D503-49B8-85E1-A955744F3CC5}" xr6:coauthVersionLast="47" xr6:coauthVersionMax="47" xr10:uidLastSave="{00000000-0000-0000-0000-000000000000}"/>
  <bookViews>
    <workbookView xWindow="28680" yWindow="-120" windowWidth="19440" windowHeight="11040" xr2:uid="{325AF502-9131-43EC-8AB8-8A4FC60319C7}"/>
  </bookViews>
  <sheets>
    <sheet name="Planilh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6" i="1" l="1"/>
  <c r="Y22" i="1"/>
  <c r="Y19" i="1"/>
  <c r="X22" i="1"/>
  <c r="X19" i="1"/>
  <c r="V22" i="1"/>
  <c r="U22" i="1"/>
  <c r="U21" i="1"/>
  <c r="T21" i="1"/>
  <c r="T22" i="1"/>
  <c r="T20" i="1"/>
  <c r="S20" i="1"/>
  <c r="S21" i="1"/>
  <c r="S22" i="1"/>
  <c r="S19" i="1"/>
  <c r="R19" i="1"/>
  <c r="R20" i="1"/>
  <c r="R21" i="1"/>
  <c r="R22" i="1"/>
  <c r="R18" i="1"/>
  <c r="Q18" i="1"/>
  <c r="Q19" i="1"/>
  <c r="Q20" i="1"/>
  <c r="Q21" i="1"/>
  <c r="Q22" i="1"/>
  <c r="Q17" i="1"/>
  <c r="P22" i="1"/>
  <c r="P17" i="1"/>
  <c r="P18" i="1"/>
  <c r="P19" i="1"/>
  <c r="P20" i="1"/>
  <c r="P21" i="1"/>
  <c r="P16" i="1"/>
  <c r="O16" i="1"/>
  <c r="O17" i="1"/>
  <c r="O18" i="1"/>
  <c r="O19" i="1"/>
  <c r="O20" i="1"/>
  <c r="O21" i="1"/>
  <c r="O22" i="1"/>
  <c r="O15" i="1"/>
  <c r="N15" i="1"/>
  <c r="N16" i="1"/>
  <c r="N17" i="1"/>
  <c r="N18" i="1"/>
  <c r="N19" i="1"/>
  <c r="N20" i="1"/>
  <c r="N21" i="1"/>
  <c r="N22" i="1"/>
  <c r="N14" i="1"/>
  <c r="M14" i="1"/>
  <c r="M15" i="1"/>
  <c r="M16" i="1"/>
  <c r="M17" i="1"/>
  <c r="M18" i="1"/>
  <c r="M19" i="1"/>
  <c r="M20" i="1"/>
  <c r="M21" i="1"/>
  <c r="M22" i="1"/>
  <c r="M13" i="1"/>
  <c r="L13" i="1"/>
  <c r="L14" i="1"/>
  <c r="L15" i="1"/>
  <c r="L16" i="1"/>
  <c r="L17" i="1"/>
  <c r="L18" i="1"/>
  <c r="L19" i="1"/>
  <c r="L20" i="1"/>
  <c r="L21" i="1"/>
  <c r="L22" i="1"/>
  <c r="L12" i="1"/>
  <c r="K12" i="1"/>
  <c r="K13" i="1"/>
  <c r="K14" i="1"/>
  <c r="K15" i="1"/>
  <c r="K16" i="1"/>
  <c r="K17" i="1"/>
  <c r="K18" i="1"/>
  <c r="K19" i="1"/>
  <c r="K20" i="1"/>
  <c r="K21" i="1"/>
  <c r="K22" i="1"/>
  <c r="K11" i="1"/>
  <c r="J11" i="1"/>
  <c r="J12" i="1"/>
  <c r="J13" i="1"/>
  <c r="J14" i="1"/>
  <c r="J15" i="1"/>
  <c r="J16" i="1"/>
  <c r="J17" i="1"/>
  <c r="J18" i="1"/>
  <c r="J19" i="1"/>
  <c r="J20" i="1"/>
  <c r="J21" i="1"/>
  <c r="J22" i="1"/>
  <c r="J10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9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8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7" i="1"/>
  <c r="Q6" i="1"/>
  <c r="R6" i="1"/>
  <c r="S6" i="1" s="1"/>
  <c r="T6" i="1" s="1"/>
  <c r="U6" i="1" s="1"/>
  <c r="V6" i="1" s="1"/>
  <c r="I6" i="1"/>
  <c r="J6" i="1"/>
  <c r="K6" i="1" s="1"/>
  <c r="L6" i="1" s="1"/>
  <c r="M6" i="1" s="1"/>
  <c r="N6" i="1" s="1"/>
  <c r="O6" i="1" s="1"/>
  <c r="P6" i="1" s="1"/>
  <c r="H6" i="1"/>
  <c r="F21" i="1"/>
  <c r="F22" i="1"/>
  <c r="F14" i="1"/>
  <c r="F15" i="1"/>
  <c r="F16" i="1" s="1"/>
  <c r="F17" i="1" s="1"/>
  <c r="F18" i="1" s="1"/>
  <c r="F19" i="1" s="1"/>
  <c r="F20" i="1" s="1"/>
  <c r="F9" i="1"/>
  <c r="F10" i="1"/>
  <c r="F11" i="1" s="1"/>
  <c r="F12" i="1" s="1"/>
  <c r="F13" i="1" s="1"/>
  <c r="F8" i="1"/>
  <c r="C8" i="1"/>
  <c r="C9" i="1"/>
  <c r="C10" i="1"/>
  <c r="C11" i="1"/>
  <c r="C12" i="1"/>
  <c r="C7" i="1"/>
  <c r="F3" i="1"/>
  <c r="F4" i="1"/>
  <c r="F2" i="1"/>
</calcChain>
</file>

<file path=xl/sharedStrings.xml><?xml version="1.0" encoding="utf-8"?>
<sst xmlns="http://schemas.openxmlformats.org/spreadsheetml/2006/main" count="11" uniqueCount="10">
  <si>
    <t>x</t>
  </si>
  <si>
    <t>y</t>
  </si>
  <si>
    <t>z</t>
  </si>
  <si>
    <t>n</t>
  </si>
  <si>
    <t>p</t>
  </si>
  <si>
    <t>Q1</t>
  </si>
  <si>
    <t>Q2</t>
  </si>
  <si>
    <t>C</t>
  </si>
  <si>
    <t>Q5</t>
  </si>
  <si>
    <t>Q6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</si>
</sst>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1" fillId="2" borderId="0" xfId="0" applyFont="1" applyFill="1"/>
    <xf numFmtId="0" fontId="1" fillId="0" borderId="1" xfId="0" applyFont="1" applyBorder="1"/>
    <xf numFmtId="0" fontId="1" fillId="0" borderId="2" xfId="0" applyFont="1" applyBorder="1"/>
    <xf numFmtId="0" fontId="0" fillId="0" borderId="2" xfId="0" applyBorder="1"/>
    <xf numFmtId="0" fontId="1" fillId="0" borderId="3" xfId="0" applyFont="1" applyBorder="1"/>
    <xf numFmtId="0" fontId="0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FE2CF-B14F-493E-87F8-D6EBF9D0E922}">
  <dimension ref="A1:Z22"/>
  <sheetViews>
    <sheetView tabSelected="1" workbookViewId="0"/>
  </sheetViews>
  <sheetFormatPr defaultRowHeight="15" x14ac:dyDescent="0.25"/>
  <sheetData>
    <row r="1" spans="1:22" x14ac:dyDescent="0.25">
      <c r="A1" s="7" t="s">
        <v>5</v>
      </c>
      <c r="D1" t="s">
        <v>3</v>
      </c>
      <c r="E1" t="s">
        <v>4</v>
      </c>
    </row>
    <row r="2" spans="1:22" x14ac:dyDescent="0.25">
      <c r="C2" t="s">
        <v>0</v>
      </c>
      <c r="D2">
        <v>12</v>
      </c>
      <c r="E2">
        <v>7</v>
      </c>
      <c r="F2">
        <f>COMBIN(D2,E2)</f>
        <v>792</v>
      </c>
    </row>
    <row r="3" spans="1:22" x14ac:dyDescent="0.25">
      <c r="C3" t="s">
        <v>1</v>
      </c>
      <c r="D3">
        <v>15</v>
      </c>
      <c r="E3">
        <v>3</v>
      </c>
      <c r="F3">
        <f t="shared" ref="F3:F4" si="0">COMBIN(D3,E3)</f>
        <v>455.00000000000006</v>
      </c>
    </row>
    <row r="4" spans="1:22" x14ac:dyDescent="0.25">
      <c r="C4" t="s">
        <v>2</v>
      </c>
      <c r="D4">
        <v>18</v>
      </c>
      <c r="E4">
        <v>15</v>
      </c>
      <c r="F4">
        <f t="shared" si="0"/>
        <v>816</v>
      </c>
    </row>
    <row r="6" spans="1:22" x14ac:dyDescent="0.25">
      <c r="A6" t="s">
        <v>9</v>
      </c>
      <c r="G6">
        <v>0</v>
      </c>
      <c r="H6">
        <f>G6+1</f>
        <v>1</v>
      </c>
      <c r="I6">
        <f t="shared" ref="I6:V6" si="1">H6+1</f>
        <v>2</v>
      </c>
      <c r="J6">
        <f t="shared" si="1"/>
        <v>3</v>
      </c>
      <c r="K6">
        <f t="shared" si="1"/>
        <v>4</v>
      </c>
      <c r="L6">
        <f t="shared" si="1"/>
        <v>5</v>
      </c>
      <c r="M6">
        <f t="shared" si="1"/>
        <v>6</v>
      </c>
      <c r="N6">
        <f t="shared" si="1"/>
        <v>7</v>
      </c>
      <c r="O6">
        <f t="shared" si="1"/>
        <v>8</v>
      </c>
      <c r="P6">
        <f t="shared" si="1"/>
        <v>9</v>
      </c>
      <c r="Q6">
        <f>P6+1</f>
        <v>10</v>
      </c>
      <c r="R6">
        <f t="shared" si="1"/>
        <v>11</v>
      </c>
      <c r="S6">
        <f t="shared" si="1"/>
        <v>12</v>
      </c>
      <c r="T6">
        <f t="shared" si="1"/>
        <v>13</v>
      </c>
      <c r="U6">
        <f t="shared" si="1"/>
        <v>14</v>
      </c>
      <c r="V6">
        <f t="shared" si="1"/>
        <v>15</v>
      </c>
    </row>
    <row r="7" spans="1:22" x14ac:dyDescent="0.25">
      <c r="B7">
        <v>1</v>
      </c>
      <c r="C7">
        <f>COMBIN(12,B7)</f>
        <v>12</v>
      </c>
      <c r="F7">
        <v>0</v>
      </c>
      <c r="G7">
        <f>COMBIN(F7,$G$6)</f>
        <v>1</v>
      </c>
    </row>
    <row r="8" spans="1:22" x14ac:dyDescent="0.25">
      <c r="B8">
        <v>2</v>
      </c>
      <c r="C8">
        <f t="shared" ref="C8:C12" si="2">COMBIN(12,B8)</f>
        <v>66</v>
      </c>
      <c r="F8">
        <f>F7+1</f>
        <v>1</v>
      </c>
      <c r="G8">
        <f t="shared" ref="G8:U22" si="3">COMBIN(F8,$G$6)</f>
        <v>1</v>
      </c>
      <c r="H8">
        <f>COMBIN(F8,$H$6)</f>
        <v>1</v>
      </c>
    </row>
    <row r="9" spans="1:22" x14ac:dyDescent="0.25">
      <c r="B9">
        <v>3</v>
      </c>
      <c r="C9">
        <f t="shared" si="2"/>
        <v>220</v>
      </c>
      <c r="F9">
        <f t="shared" ref="F9:F22" si="4">F8+1</f>
        <v>2</v>
      </c>
      <c r="G9">
        <f t="shared" si="3"/>
        <v>1</v>
      </c>
      <c r="H9">
        <f t="shared" ref="H9:H22" si="5">COMBIN(F9,$H$6)</f>
        <v>2</v>
      </c>
      <c r="I9">
        <f>COMBIN(F9,$I$6)</f>
        <v>1</v>
      </c>
    </row>
    <row r="10" spans="1:22" x14ac:dyDescent="0.25">
      <c r="B10">
        <v>4</v>
      </c>
      <c r="C10">
        <f t="shared" si="2"/>
        <v>495</v>
      </c>
      <c r="F10">
        <f t="shared" si="4"/>
        <v>3</v>
      </c>
      <c r="G10">
        <f t="shared" si="3"/>
        <v>1</v>
      </c>
      <c r="H10">
        <f t="shared" si="5"/>
        <v>3</v>
      </c>
      <c r="I10">
        <f t="shared" ref="I10:I22" si="6">COMBIN(F10,$I$6)</f>
        <v>3</v>
      </c>
      <c r="J10">
        <f>COMBIN(F10,$J$6)</f>
        <v>1</v>
      </c>
    </row>
    <row r="11" spans="1:22" x14ac:dyDescent="0.25">
      <c r="B11" s="1">
        <v>5</v>
      </c>
      <c r="C11" s="1">
        <f t="shared" si="2"/>
        <v>792</v>
      </c>
      <c r="D11" t="s">
        <v>7</v>
      </c>
      <c r="F11">
        <f t="shared" si="4"/>
        <v>4</v>
      </c>
      <c r="G11">
        <f t="shared" si="3"/>
        <v>1</v>
      </c>
      <c r="H11">
        <f t="shared" si="5"/>
        <v>4</v>
      </c>
      <c r="I11">
        <f t="shared" si="6"/>
        <v>6</v>
      </c>
      <c r="J11">
        <f t="shared" ref="J11:J22" si="7">COMBIN(F11,$J$6)</f>
        <v>4</v>
      </c>
      <c r="K11">
        <f>COMBIN(F11,$K$6)</f>
        <v>1</v>
      </c>
    </row>
    <row r="12" spans="1:22" x14ac:dyDescent="0.25">
      <c r="B12">
        <v>6</v>
      </c>
      <c r="C12">
        <f t="shared" si="2"/>
        <v>923.99999999999977</v>
      </c>
      <c r="F12">
        <f t="shared" si="4"/>
        <v>5</v>
      </c>
      <c r="G12">
        <f t="shared" si="3"/>
        <v>1</v>
      </c>
      <c r="H12">
        <f t="shared" si="5"/>
        <v>5</v>
      </c>
      <c r="I12">
        <f t="shared" si="6"/>
        <v>10</v>
      </c>
      <c r="J12">
        <f t="shared" si="7"/>
        <v>10</v>
      </c>
      <c r="K12">
        <f t="shared" ref="K12:K22" si="8">COMBIN(F12,$K$6)</f>
        <v>5</v>
      </c>
      <c r="L12">
        <f>COMBIN(F12,$L$6)</f>
        <v>1</v>
      </c>
    </row>
    <row r="13" spans="1:22" x14ac:dyDescent="0.25">
      <c r="F13">
        <f t="shared" si="4"/>
        <v>6</v>
      </c>
      <c r="G13">
        <f t="shared" si="3"/>
        <v>1</v>
      </c>
      <c r="H13">
        <f t="shared" si="5"/>
        <v>6</v>
      </c>
      <c r="I13">
        <f t="shared" si="6"/>
        <v>15</v>
      </c>
      <c r="J13">
        <f t="shared" si="7"/>
        <v>20</v>
      </c>
      <c r="K13">
        <f t="shared" si="8"/>
        <v>15</v>
      </c>
      <c r="L13">
        <f t="shared" ref="L13:L22" si="9">COMBIN(F13,$L$6)</f>
        <v>6</v>
      </c>
      <c r="M13">
        <f>COMBIN(F13,$M$6)</f>
        <v>1</v>
      </c>
    </row>
    <row r="14" spans="1:22" x14ac:dyDescent="0.25">
      <c r="F14">
        <f t="shared" si="4"/>
        <v>7</v>
      </c>
      <c r="G14">
        <f t="shared" si="3"/>
        <v>1</v>
      </c>
      <c r="H14">
        <f t="shared" si="5"/>
        <v>7</v>
      </c>
      <c r="I14">
        <f t="shared" si="6"/>
        <v>21</v>
      </c>
      <c r="J14">
        <f t="shared" si="7"/>
        <v>35</v>
      </c>
      <c r="K14">
        <f t="shared" si="8"/>
        <v>35</v>
      </c>
      <c r="L14">
        <f t="shared" si="9"/>
        <v>21</v>
      </c>
      <c r="M14">
        <f t="shared" ref="M14:M22" si="10">COMBIN(F14,$M$6)</f>
        <v>7</v>
      </c>
      <c r="N14">
        <f>COMBIN(F14,$N$6)</f>
        <v>1</v>
      </c>
    </row>
    <row r="15" spans="1:22" x14ac:dyDescent="0.25">
      <c r="F15">
        <f t="shared" si="4"/>
        <v>8</v>
      </c>
      <c r="G15">
        <f t="shared" si="3"/>
        <v>1</v>
      </c>
      <c r="H15">
        <f t="shared" si="5"/>
        <v>8</v>
      </c>
      <c r="I15">
        <f t="shared" si="6"/>
        <v>28</v>
      </c>
      <c r="J15">
        <f t="shared" si="7"/>
        <v>56</v>
      </c>
      <c r="K15">
        <f t="shared" si="8"/>
        <v>70</v>
      </c>
      <c r="L15">
        <f t="shared" si="9"/>
        <v>56</v>
      </c>
      <c r="M15">
        <f t="shared" si="10"/>
        <v>28</v>
      </c>
      <c r="N15">
        <f t="shared" ref="N15:N22" si="11">COMBIN(F15,$N$6)</f>
        <v>8</v>
      </c>
      <c r="O15">
        <f>COMBIN(F15,$O$6)</f>
        <v>1</v>
      </c>
    </row>
    <row r="16" spans="1:22" x14ac:dyDescent="0.25">
      <c r="F16">
        <f t="shared" si="4"/>
        <v>9</v>
      </c>
      <c r="G16">
        <f t="shared" si="3"/>
        <v>1</v>
      </c>
      <c r="H16" s="2">
        <f t="shared" si="5"/>
        <v>9</v>
      </c>
      <c r="I16">
        <f t="shared" si="6"/>
        <v>36</v>
      </c>
      <c r="J16" s="2">
        <f t="shared" si="7"/>
        <v>83.999999999999986</v>
      </c>
      <c r="K16">
        <f t="shared" si="8"/>
        <v>126</v>
      </c>
      <c r="L16" s="2">
        <f t="shared" si="9"/>
        <v>126</v>
      </c>
      <c r="M16">
        <f t="shared" si="10"/>
        <v>83.999999999999986</v>
      </c>
      <c r="N16" s="2">
        <f t="shared" si="11"/>
        <v>36</v>
      </c>
      <c r="O16">
        <f t="shared" ref="O16:O22" si="12">COMBIN(F16,$O$6)</f>
        <v>9</v>
      </c>
      <c r="P16" s="2">
        <f>COMBIN(F16,$P$6)</f>
        <v>1</v>
      </c>
      <c r="R16" s="1">
        <f>H16+J16+L16+N16+P16</f>
        <v>256</v>
      </c>
      <c r="S16" s="1" t="s">
        <v>8</v>
      </c>
    </row>
    <row r="17" spans="6:26" x14ac:dyDescent="0.25">
      <c r="F17">
        <f t="shared" si="4"/>
        <v>10</v>
      </c>
      <c r="G17">
        <f t="shared" si="3"/>
        <v>1</v>
      </c>
      <c r="H17">
        <f t="shared" si="5"/>
        <v>10</v>
      </c>
      <c r="I17">
        <f t="shared" si="6"/>
        <v>45</v>
      </c>
      <c r="J17">
        <f t="shared" si="7"/>
        <v>120</v>
      </c>
      <c r="K17">
        <f t="shared" si="8"/>
        <v>209.99999999999997</v>
      </c>
      <c r="L17">
        <f t="shared" si="9"/>
        <v>252</v>
      </c>
      <c r="M17">
        <f t="shared" si="10"/>
        <v>209.99999999999997</v>
      </c>
      <c r="N17">
        <f t="shared" si="11"/>
        <v>120</v>
      </c>
      <c r="O17">
        <f t="shared" si="12"/>
        <v>45</v>
      </c>
      <c r="P17">
        <f t="shared" ref="P17:P22" si="13">COMBIN(F17,$P$6)</f>
        <v>10</v>
      </c>
      <c r="Q17">
        <f>COMBIN(F17,$Q$6)</f>
        <v>1</v>
      </c>
    </row>
    <row r="18" spans="6:26" x14ac:dyDescent="0.25">
      <c r="F18">
        <f t="shared" si="4"/>
        <v>11</v>
      </c>
      <c r="G18">
        <f t="shared" si="3"/>
        <v>1</v>
      </c>
      <c r="H18">
        <f t="shared" si="5"/>
        <v>11</v>
      </c>
      <c r="I18">
        <f t="shared" si="6"/>
        <v>55</v>
      </c>
      <c r="J18">
        <f t="shared" si="7"/>
        <v>165</v>
      </c>
      <c r="K18">
        <f t="shared" si="8"/>
        <v>330</v>
      </c>
      <c r="L18">
        <f t="shared" si="9"/>
        <v>461.99999999999994</v>
      </c>
      <c r="M18">
        <f t="shared" si="10"/>
        <v>461.99999999999994</v>
      </c>
      <c r="N18">
        <f t="shared" si="11"/>
        <v>330</v>
      </c>
      <c r="O18">
        <f t="shared" si="12"/>
        <v>165</v>
      </c>
      <c r="P18">
        <f t="shared" si="13"/>
        <v>55</v>
      </c>
      <c r="Q18">
        <f t="shared" ref="Q18:Q22" si="14">COMBIN(F18,$Q$6)</f>
        <v>11</v>
      </c>
      <c r="R18">
        <f>COMBIN(F18,$R$6)</f>
        <v>1</v>
      </c>
    </row>
    <row r="19" spans="6:26" x14ac:dyDescent="0.25">
      <c r="F19" s="3">
        <f t="shared" si="4"/>
        <v>12</v>
      </c>
      <c r="G19" s="4">
        <f t="shared" si="3"/>
        <v>1</v>
      </c>
      <c r="H19" s="4">
        <f t="shared" si="5"/>
        <v>12</v>
      </c>
      <c r="I19" s="4">
        <f t="shared" si="6"/>
        <v>66</v>
      </c>
      <c r="J19" s="4">
        <f t="shared" si="7"/>
        <v>220</v>
      </c>
      <c r="K19" s="4">
        <f t="shared" si="8"/>
        <v>495</v>
      </c>
      <c r="L19" s="4">
        <f t="shared" si="9"/>
        <v>792</v>
      </c>
      <c r="M19" s="4">
        <f t="shared" si="10"/>
        <v>923.99999999999977</v>
      </c>
      <c r="N19" s="4">
        <f t="shared" si="11"/>
        <v>792</v>
      </c>
      <c r="O19" s="4">
        <f t="shared" si="12"/>
        <v>495</v>
      </c>
      <c r="P19" s="4">
        <f t="shared" si="13"/>
        <v>220</v>
      </c>
      <c r="Q19" s="4">
        <f t="shared" si="14"/>
        <v>66</v>
      </c>
      <c r="R19" s="4">
        <f t="shared" ref="R19:R22" si="15">COMBIN(F19,$R$6)</f>
        <v>12</v>
      </c>
      <c r="S19" s="4">
        <f>COMBIN(F19,$S$6)</f>
        <v>1</v>
      </c>
      <c r="T19" s="5"/>
      <c r="U19" s="5"/>
      <c r="V19" s="5"/>
      <c r="W19" s="5"/>
      <c r="X19" s="5">
        <f>SUM(G19:S19)</f>
        <v>4096</v>
      </c>
      <c r="Y19" s="6">
        <f>LOG(X19,2)</f>
        <v>12</v>
      </c>
      <c r="Z19" s="1" t="s">
        <v>6</v>
      </c>
    </row>
    <row r="20" spans="6:26" x14ac:dyDescent="0.25">
      <c r="F20">
        <f t="shared" si="4"/>
        <v>13</v>
      </c>
      <c r="G20">
        <f t="shared" si="3"/>
        <v>1</v>
      </c>
      <c r="H20">
        <f t="shared" si="5"/>
        <v>13</v>
      </c>
      <c r="I20">
        <f t="shared" si="6"/>
        <v>78</v>
      </c>
      <c r="J20">
        <f t="shared" si="7"/>
        <v>286</v>
      </c>
      <c r="K20">
        <f t="shared" si="8"/>
        <v>715</v>
      </c>
      <c r="L20">
        <f t="shared" si="9"/>
        <v>1287</v>
      </c>
      <c r="M20">
        <f t="shared" si="10"/>
        <v>1716</v>
      </c>
      <c r="N20">
        <f t="shared" si="11"/>
        <v>1716</v>
      </c>
      <c r="O20">
        <f t="shared" si="12"/>
        <v>1287</v>
      </c>
      <c r="P20">
        <f t="shared" si="13"/>
        <v>715</v>
      </c>
      <c r="Q20">
        <f t="shared" si="14"/>
        <v>286</v>
      </c>
      <c r="R20">
        <f t="shared" si="15"/>
        <v>78</v>
      </c>
      <c r="S20">
        <f t="shared" ref="S20:S22" si="16">COMBIN(F20,$S$6)</f>
        <v>13</v>
      </c>
      <c r="T20">
        <f>COMBIN(F20,$T$6)</f>
        <v>1</v>
      </c>
    </row>
    <row r="21" spans="6:26" x14ac:dyDescent="0.25">
      <c r="F21">
        <f t="shared" si="4"/>
        <v>14</v>
      </c>
      <c r="G21">
        <f t="shared" si="3"/>
        <v>1</v>
      </c>
      <c r="H21">
        <f t="shared" si="5"/>
        <v>14</v>
      </c>
      <c r="I21">
        <f t="shared" si="6"/>
        <v>91</v>
      </c>
      <c r="J21">
        <f t="shared" si="7"/>
        <v>364</v>
      </c>
      <c r="K21">
        <f t="shared" si="8"/>
        <v>1001</v>
      </c>
      <c r="L21">
        <f t="shared" si="9"/>
        <v>2002</v>
      </c>
      <c r="M21">
        <f t="shared" si="10"/>
        <v>3002.9999999999995</v>
      </c>
      <c r="N21">
        <f t="shared" si="11"/>
        <v>3432</v>
      </c>
      <c r="O21">
        <f t="shared" si="12"/>
        <v>3002.9999999999995</v>
      </c>
      <c r="P21">
        <f t="shared" si="13"/>
        <v>2002</v>
      </c>
      <c r="Q21">
        <f t="shared" si="14"/>
        <v>1001</v>
      </c>
      <c r="R21">
        <f t="shared" si="15"/>
        <v>364</v>
      </c>
      <c r="S21">
        <f t="shared" si="16"/>
        <v>91</v>
      </c>
      <c r="T21">
        <f t="shared" ref="T21:T22" si="17">COMBIN(F21,$T$6)</f>
        <v>14</v>
      </c>
      <c r="U21">
        <f>COMBIN(F21,$U$6)</f>
        <v>1</v>
      </c>
    </row>
    <row r="22" spans="6:26" x14ac:dyDescent="0.25">
      <c r="F22" s="3">
        <f t="shared" si="4"/>
        <v>15</v>
      </c>
      <c r="G22" s="4">
        <f t="shared" si="3"/>
        <v>1</v>
      </c>
      <c r="H22" s="4">
        <f t="shared" si="5"/>
        <v>15</v>
      </c>
      <c r="I22" s="4">
        <f t="shared" si="6"/>
        <v>105</v>
      </c>
      <c r="J22" s="4">
        <f t="shared" si="7"/>
        <v>455.00000000000006</v>
      </c>
      <c r="K22" s="4">
        <f t="shared" si="8"/>
        <v>1365</v>
      </c>
      <c r="L22" s="4">
        <f t="shared" si="9"/>
        <v>3003</v>
      </c>
      <c r="M22" s="4">
        <f t="shared" si="10"/>
        <v>5005</v>
      </c>
      <c r="N22" s="4">
        <f t="shared" si="11"/>
        <v>6434.9999999999991</v>
      </c>
      <c r="O22" s="4">
        <f t="shared" si="12"/>
        <v>6434.9999999999991</v>
      </c>
      <c r="P22" s="4">
        <f>COMBIN(F22,$P$6)</f>
        <v>5005</v>
      </c>
      <c r="Q22" s="4">
        <f t="shared" si="14"/>
        <v>3003</v>
      </c>
      <c r="R22" s="4">
        <f t="shared" si="15"/>
        <v>1365</v>
      </c>
      <c r="S22" s="4">
        <f t="shared" si="16"/>
        <v>455.00000000000006</v>
      </c>
      <c r="T22" s="4">
        <f t="shared" si="17"/>
        <v>105</v>
      </c>
      <c r="U22" s="4">
        <f>COMBIN(F22,$U$6)</f>
        <v>15</v>
      </c>
      <c r="V22" s="4">
        <f>COMBIN(F22,$V$6)</f>
        <v>1</v>
      </c>
      <c r="W22" s="5"/>
      <c r="X22" s="5">
        <f>SUM(G22:V22)</f>
        <v>32768</v>
      </c>
      <c r="Y22" s="6">
        <f>LOG(X22,2)</f>
        <v>15</v>
      </c>
      <c r="Z22" s="1" t="s">
        <v>6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BRANDAO</dc:creator>
  <cp:lastModifiedBy>BRUNO BRANDAO</cp:lastModifiedBy>
  <dcterms:created xsi:type="dcterms:W3CDTF">2024-02-18T19:07:50Z</dcterms:created>
  <dcterms:modified xsi:type="dcterms:W3CDTF">2024-02-18T19:49:13Z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2024-02-18T19:22:30Z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d67eb2f9-c229-4b11-89c7-335bbba70627</vt:lpwstr>
  </property>
  <property fmtid="{D5CDD505-2E9C-101B-9397-08002B2CF9AE}" pid="7" name="MSIP_Label_defa4170-0d19-0005-0004-bc88714345d2_ActionId">
    <vt:lpwstr>c3a7f3bf-7957-4996-8fd9-087ca0115971</vt:lpwstr>
  </property>
  <property fmtid="{D5CDD505-2E9C-101B-9397-08002B2CF9AE}" pid="8" name="MSIP_Label_defa4170-0d19-0005-0004-bc88714345d2_ContentBits">
    <vt:lpwstr>0</vt:lpwstr>
  </property>
</Properties>
</file>